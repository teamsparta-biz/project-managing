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내 드라이브\Project_managing_tool\"/>
    </mc:Choice>
  </mc:AlternateContent>
  <xr:revisionPtr revIDLastSave="0" documentId="13_ncr:1_{FA05D8E8-3DB3-4075-BECB-48B0B6D46DA6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6월 인건비(송찬호)" sheetId="1" r:id="rId1"/>
  </sheets>
  <definedNames>
    <definedName name="_xlnm._FilterDatabase" localSheetId="0" hidden="1">'6월 인건비(송찬호)'!$A$1:$N$67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3" i="1"/>
  <c r="N64" i="1"/>
  <c r="N65" i="1"/>
  <c r="N66" i="1"/>
  <c r="N2" i="1"/>
  <c r="N67" i="1" l="1"/>
</calcChain>
</file>

<file path=xl/sharedStrings.xml><?xml version="1.0" encoding="utf-8"?>
<sst xmlns="http://schemas.openxmlformats.org/spreadsheetml/2006/main" count="538" uniqueCount="110">
  <si>
    <t>성함</t>
  </si>
  <si>
    <t>일자</t>
  </si>
  <si>
    <t>근무유형</t>
  </si>
  <si>
    <t>등급</t>
  </si>
  <si>
    <t>시급</t>
  </si>
  <si>
    <t>시작</t>
  </si>
  <si>
    <t>종료</t>
  </si>
  <si>
    <t>근무시간</t>
  </si>
  <si>
    <t>인건비</t>
  </si>
  <si>
    <t>고객사</t>
  </si>
  <si>
    <t>교육명</t>
  </si>
  <si>
    <t>임대건</t>
  </si>
  <si>
    <t>2026-06-10</t>
  </si>
  <si>
    <t>주강사</t>
  </si>
  <si>
    <t>L3</t>
  </si>
  <si>
    <t>10:00</t>
  </si>
  <si>
    <t>12:00</t>
  </si>
  <si>
    <t>호텔신라</t>
  </si>
  <si>
    <t>Copilot chat 활용 AI 리터러시</t>
  </si>
  <si>
    <t>2026-06-11</t>
  </si>
  <si>
    <t>2026-06-12</t>
  </si>
  <si>
    <t>김윤겸</t>
  </si>
  <si>
    <t>기술튜터</t>
  </si>
  <si>
    <t>L2</t>
  </si>
  <si>
    <t>09:00</t>
  </si>
  <si>
    <t>18:00</t>
  </si>
  <si>
    <t>중소기업 집체교육</t>
  </si>
  <si>
    <t>우민정</t>
  </si>
  <si>
    <t>윤지혜</t>
  </si>
  <si>
    <t>2026-06-15</t>
  </si>
  <si>
    <t>정은예</t>
  </si>
  <si>
    <t>2026-06-16</t>
  </si>
  <si>
    <t>13:30</t>
  </si>
  <si>
    <t>17:30</t>
  </si>
  <si>
    <t>한국은행</t>
  </si>
  <si>
    <t>AI 리더십 연수</t>
  </si>
  <si>
    <t>허안나</t>
  </si>
  <si>
    <t>김택수</t>
  </si>
  <si>
    <t>13:00</t>
  </si>
  <si>
    <t>율촌</t>
  </si>
  <si>
    <t>데이터 Track(오전)</t>
  </si>
  <si>
    <t>정희윤</t>
  </si>
  <si>
    <t>황대환</t>
  </si>
  <si>
    <t>L5</t>
  </si>
  <si>
    <t>이상원</t>
  </si>
  <si>
    <t>14:00</t>
  </si>
  <si>
    <t>데이터 Track(오후)</t>
  </si>
  <si>
    <t>2026-06-17</t>
  </si>
  <si>
    <t>정재윤</t>
  </si>
  <si>
    <t>기획 Track</t>
  </si>
  <si>
    <t>리서치 Track</t>
  </si>
  <si>
    <t>강수혁</t>
  </si>
  <si>
    <t>17:00</t>
  </si>
  <si>
    <t>한국내화(주)</t>
  </si>
  <si>
    <t>한국내화 실무자 대상 생성형 AI 교육</t>
  </si>
  <si>
    <t>배찬우</t>
  </si>
  <si>
    <t>김한결</t>
  </si>
  <si>
    <t>2026-06-18</t>
  </si>
  <si>
    <t>김태현</t>
  </si>
  <si>
    <t>이수진</t>
  </si>
  <si>
    <t>09:30</t>
  </si>
  <si>
    <t>우체국물류지원단</t>
  </si>
  <si>
    <t>Claude 활용 보고서 작성 업무 효율화 교육</t>
  </si>
  <si>
    <t>박진우</t>
  </si>
  <si>
    <t>서동인</t>
  </si>
  <si>
    <t>08:30</t>
  </si>
  <si>
    <t>코오롱베니트</t>
  </si>
  <si>
    <t>코오롱생명과학 교육</t>
  </si>
  <si>
    <t>이동훈</t>
  </si>
  <si>
    <t>김민성</t>
  </si>
  <si>
    <t>2026-06-19</t>
  </si>
  <si>
    <t>2026-06-23</t>
  </si>
  <si>
    <t>코오롱인베스트먼트</t>
  </si>
  <si>
    <t>신현중</t>
  </si>
  <si>
    <t>임승현</t>
  </si>
  <si>
    <t>2026-06-24</t>
  </si>
  <si>
    <t>김성희</t>
  </si>
  <si>
    <t>2026-06-25</t>
  </si>
  <si>
    <t>2026-06-26</t>
  </si>
  <si>
    <t>박현일</t>
  </si>
  <si>
    <t>2026-06-29</t>
  </si>
  <si>
    <t>충청에너지서비스</t>
  </si>
  <si>
    <t>AI PBL 교육</t>
  </si>
  <si>
    <t>양봉현</t>
  </si>
  <si>
    <t>최진영</t>
  </si>
  <si>
    <t>12:30</t>
  </si>
  <si>
    <t>LG전자</t>
  </si>
  <si>
    <t>상품기획담당 리더 대상 교육</t>
  </si>
  <si>
    <t>이슬</t>
  </si>
  <si>
    <t>정혜승</t>
  </si>
  <si>
    <t>손준서</t>
  </si>
  <si>
    <t>2026-06-30</t>
  </si>
  <si>
    <t>롯데월드</t>
  </si>
  <si>
    <t>롯데월드 AX리더쉽 &amp; 바이브코딩 교육</t>
  </si>
  <si>
    <t>우지영</t>
  </si>
  <si>
    <t>유상호</t>
  </si>
  <si>
    <t>이경준</t>
  </si>
  <si>
    <t>합계</t>
  </si>
  <si>
    <t>숙박비</t>
    <phoneticPr fontId="3" type="noConversion"/>
  </si>
  <si>
    <t>교통비</t>
    <phoneticPr fontId="3" type="noConversion"/>
  </si>
  <si>
    <t>기타</t>
    <phoneticPr fontId="3" type="noConversion"/>
  </si>
  <si>
    <t>중소기업 집체교육</t>
    <phoneticPr fontId="3" type="noConversion"/>
  </si>
  <si>
    <t>-</t>
    <phoneticPr fontId="3" type="noConversion"/>
  </si>
  <si>
    <t>임대건</t>
    <phoneticPr fontId="3" type="noConversion"/>
  </si>
  <si>
    <t>기술튜터</t>
    <phoneticPr fontId="3" type="noConversion"/>
  </si>
  <si>
    <t>특이사항</t>
    <phoneticPr fontId="3" type="noConversion"/>
  </si>
  <si>
    <t>기술튜터이나, 주강사 시급으로 합의</t>
    <phoneticPr fontId="3" type="noConversion"/>
  </si>
  <si>
    <t>1시간 노트북 세팅</t>
    <phoneticPr fontId="3" type="noConversion"/>
  </si>
  <si>
    <t>이호인</t>
    <phoneticPr fontId="3" type="noConversion"/>
  </si>
  <si>
    <t>주강사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</si>
</sst>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2" fillId="3" borderId="0" xfId="0" applyFont="1" applyFill="1"/>
    <xf numFmtId="0" fontId="0" fillId="3" borderId="0" xfId="0" applyFill="1"/>
    <xf numFmtId="3" fontId="2" fillId="3" borderId="0" xfId="0" applyNumberFormat="1" applyFont="1" applyFill="1"/>
    <xf numFmtId="0" fontId="1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Normal="100" workbookViewId="0">
      <pane ySplit="1" topLeftCell="A26" activePane="bottomLeft" state="frozen"/>
      <selection pane="bottomLeft" activeCell="J36" sqref="J36"/>
    </sheetView>
  </sheetViews>
  <sheetFormatPr defaultRowHeight="16.5" x14ac:dyDescent="0.3"/>
  <cols>
    <col min="1" max="1" width="9" customWidth="1"/>
    <col min="2" max="2" width="12" customWidth="1"/>
    <col min="3" max="3" width="10" customWidth="1"/>
    <col min="4" max="4" width="7" customWidth="1"/>
    <col min="5" max="5" width="10" customWidth="1"/>
    <col min="6" max="7" width="7" customWidth="1"/>
    <col min="8" max="8" width="9" customWidth="1"/>
    <col min="9" max="9" width="16" customWidth="1"/>
    <col min="10" max="10" width="42" customWidth="1"/>
    <col min="11" max="11" width="14.75" customWidth="1"/>
    <col min="12" max="12" width="15.125" customWidth="1"/>
    <col min="13" max="13" width="14.75" customWidth="1"/>
    <col min="14" max="14" width="12" customWidth="1"/>
    <col min="15" max="15" width="30.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8" t="s">
        <v>98</v>
      </c>
      <c r="L1" s="8" t="s">
        <v>99</v>
      </c>
      <c r="M1" s="8" t="s">
        <v>100</v>
      </c>
      <c r="N1" s="1" t="s">
        <v>8</v>
      </c>
      <c r="O1" s="8" t="s">
        <v>105</v>
      </c>
    </row>
    <row r="2" spans="1:15" x14ac:dyDescent="0.3">
      <c r="A2" s="2" t="s">
        <v>103</v>
      </c>
      <c r="B2" s="3" t="s">
        <v>12</v>
      </c>
      <c r="C2" s="3" t="s">
        <v>13</v>
      </c>
      <c r="D2" s="3" t="s">
        <v>14</v>
      </c>
      <c r="E2" s="4">
        <v>100000</v>
      </c>
      <c r="F2" s="3" t="s">
        <v>15</v>
      </c>
      <c r="G2" s="3" t="s">
        <v>16</v>
      </c>
      <c r="H2" s="3">
        <v>2</v>
      </c>
      <c r="I2" s="2" t="s">
        <v>17</v>
      </c>
      <c r="J2" s="2" t="s">
        <v>18</v>
      </c>
      <c r="N2" s="4">
        <f>E2*H2+K2+L2+M2</f>
        <v>200000</v>
      </c>
    </row>
    <row r="3" spans="1:15" x14ac:dyDescent="0.3">
      <c r="A3" s="2" t="s">
        <v>11</v>
      </c>
      <c r="B3" s="3" t="s">
        <v>19</v>
      </c>
      <c r="C3" s="3" t="s">
        <v>13</v>
      </c>
      <c r="D3" s="3" t="s">
        <v>14</v>
      </c>
      <c r="E3" s="4">
        <v>100000</v>
      </c>
      <c r="F3" s="3" t="s">
        <v>15</v>
      </c>
      <c r="G3" s="3" t="s">
        <v>16</v>
      </c>
      <c r="H3" s="3">
        <v>2</v>
      </c>
      <c r="I3" s="2" t="s">
        <v>17</v>
      </c>
      <c r="J3" s="2" t="s">
        <v>18</v>
      </c>
      <c r="N3" s="4">
        <f t="shared" ref="N3:N66" si="0">E3*H3+K3+L3+M3</f>
        <v>200000</v>
      </c>
    </row>
    <row r="4" spans="1:15" x14ac:dyDescent="0.3">
      <c r="A4" s="2" t="s">
        <v>11</v>
      </c>
      <c r="B4" s="3" t="s">
        <v>20</v>
      </c>
      <c r="C4" s="3" t="s">
        <v>13</v>
      </c>
      <c r="D4" s="3" t="s">
        <v>14</v>
      </c>
      <c r="E4" s="4">
        <v>100000</v>
      </c>
      <c r="F4" s="3" t="s">
        <v>15</v>
      </c>
      <c r="G4" s="3" t="s">
        <v>16</v>
      </c>
      <c r="H4" s="3">
        <v>2</v>
      </c>
      <c r="I4" s="2" t="s">
        <v>17</v>
      </c>
      <c r="J4" s="2" t="s">
        <v>18</v>
      </c>
      <c r="N4" s="4">
        <f t="shared" si="0"/>
        <v>200000</v>
      </c>
    </row>
    <row r="5" spans="1:15" x14ac:dyDescent="0.3">
      <c r="A5" s="2" t="s">
        <v>21</v>
      </c>
      <c r="B5" s="3" t="s">
        <v>20</v>
      </c>
      <c r="C5" s="3" t="s">
        <v>22</v>
      </c>
      <c r="D5" s="3" t="s">
        <v>102</v>
      </c>
      <c r="E5" s="4">
        <v>30000</v>
      </c>
      <c r="F5" s="3" t="s">
        <v>24</v>
      </c>
      <c r="G5" s="3" t="s">
        <v>25</v>
      </c>
      <c r="H5" s="3">
        <v>8</v>
      </c>
      <c r="I5" s="2" t="s">
        <v>26</v>
      </c>
      <c r="J5" s="2" t="s">
        <v>26</v>
      </c>
      <c r="N5" s="4">
        <f t="shared" si="0"/>
        <v>240000</v>
      </c>
    </row>
    <row r="6" spans="1:15" x14ac:dyDescent="0.3">
      <c r="A6" s="2" t="s">
        <v>27</v>
      </c>
      <c r="B6" s="3" t="s">
        <v>20</v>
      </c>
      <c r="C6" s="3" t="s">
        <v>22</v>
      </c>
      <c r="D6" s="3" t="s">
        <v>102</v>
      </c>
      <c r="E6" s="4">
        <v>30000</v>
      </c>
      <c r="F6" s="3" t="s">
        <v>24</v>
      </c>
      <c r="G6" s="3" t="s">
        <v>25</v>
      </c>
      <c r="H6" s="3">
        <v>8</v>
      </c>
      <c r="I6" s="2" t="s">
        <v>26</v>
      </c>
      <c r="J6" s="2" t="s">
        <v>101</v>
      </c>
      <c r="N6" s="4">
        <f t="shared" si="0"/>
        <v>240000</v>
      </c>
    </row>
    <row r="7" spans="1:15" x14ac:dyDescent="0.3">
      <c r="A7" s="2" t="s">
        <v>28</v>
      </c>
      <c r="B7" s="3" t="s">
        <v>20</v>
      </c>
      <c r="C7" s="3" t="s">
        <v>13</v>
      </c>
      <c r="D7" s="3" t="s">
        <v>14</v>
      </c>
      <c r="E7" s="4">
        <v>100000</v>
      </c>
      <c r="F7" s="3" t="s">
        <v>24</v>
      </c>
      <c r="G7" s="3" t="s">
        <v>25</v>
      </c>
      <c r="H7" s="3">
        <v>8</v>
      </c>
      <c r="I7" s="2" t="s">
        <v>26</v>
      </c>
      <c r="J7" s="2" t="s">
        <v>26</v>
      </c>
      <c r="N7" s="4">
        <f t="shared" si="0"/>
        <v>800000</v>
      </c>
    </row>
    <row r="8" spans="1:15" x14ac:dyDescent="0.3">
      <c r="A8" s="2" t="s">
        <v>11</v>
      </c>
      <c r="B8" s="3" t="s">
        <v>29</v>
      </c>
      <c r="C8" s="3" t="s">
        <v>13</v>
      </c>
      <c r="D8" s="3" t="s">
        <v>14</v>
      </c>
      <c r="E8" s="4">
        <v>100000</v>
      </c>
      <c r="F8" s="3" t="s">
        <v>15</v>
      </c>
      <c r="G8" s="3" t="s">
        <v>16</v>
      </c>
      <c r="H8" s="3">
        <v>2</v>
      </c>
      <c r="I8" s="2" t="s">
        <v>17</v>
      </c>
      <c r="J8" s="2" t="s">
        <v>18</v>
      </c>
      <c r="N8" s="4">
        <f t="shared" si="0"/>
        <v>200000</v>
      </c>
    </row>
    <row r="9" spans="1:15" x14ac:dyDescent="0.3">
      <c r="A9" s="2" t="s">
        <v>30</v>
      </c>
      <c r="B9" s="3" t="s">
        <v>31</v>
      </c>
      <c r="C9" s="3" t="s">
        <v>22</v>
      </c>
      <c r="D9" s="3" t="s">
        <v>102</v>
      </c>
      <c r="E9" s="4">
        <v>30000</v>
      </c>
      <c r="F9" s="3" t="s">
        <v>32</v>
      </c>
      <c r="G9" s="3" t="s">
        <v>33</v>
      </c>
      <c r="H9" s="3">
        <v>4</v>
      </c>
      <c r="I9" s="2" t="s">
        <v>34</v>
      </c>
      <c r="J9" s="2" t="s">
        <v>35</v>
      </c>
      <c r="N9" s="4">
        <f t="shared" si="0"/>
        <v>120000</v>
      </c>
    </row>
    <row r="10" spans="1:15" x14ac:dyDescent="0.3">
      <c r="A10" s="2" t="s">
        <v>36</v>
      </c>
      <c r="B10" s="3" t="s">
        <v>31</v>
      </c>
      <c r="C10" s="3" t="s">
        <v>13</v>
      </c>
      <c r="D10" s="3" t="s">
        <v>14</v>
      </c>
      <c r="E10" s="4">
        <v>100000</v>
      </c>
      <c r="F10" s="3" t="s">
        <v>32</v>
      </c>
      <c r="G10" s="3" t="s">
        <v>33</v>
      </c>
      <c r="H10" s="3">
        <v>4</v>
      </c>
      <c r="I10" s="2" t="s">
        <v>34</v>
      </c>
      <c r="J10" s="2" t="s">
        <v>35</v>
      </c>
      <c r="N10" s="4">
        <f t="shared" si="0"/>
        <v>400000</v>
      </c>
    </row>
    <row r="11" spans="1:15" x14ac:dyDescent="0.3">
      <c r="A11" s="2" t="s">
        <v>11</v>
      </c>
      <c r="B11" s="3" t="s">
        <v>31</v>
      </c>
      <c r="C11" s="3" t="s">
        <v>13</v>
      </c>
      <c r="D11" s="3" t="s">
        <v>14</v>
      </c>
      <c r="E11" s="4">
        <v>100000</v>
      </c>
      <c r="F11" s="3" t="s">
        <v>15</v>
      </c>
      <c r="G11" s="3" t="s">
        <v>16</v>
      </c>
      <c r="H11" s="3">
        <v>2</v>
      </c>
      <c r="I11" s="2" t="s">
        <v>17</v>
      </c>
      <c r="J11" s="2" t="s">
        <v>18</v>
      </c>
      <c r="N11" s="4">
        <f t="shared" si="0"/>
        <v>200000</v>
      </c>
    </row>
    <row r="12" spans="1:15" x14ac:dyDescent="0.3">
      <c r="A12" s="2" t="s">
        <v>37</v>
      </c>
      <c r="B12" s="3" t="s">
        <v>31</v>
      </c>
      <c r="C12" s="3" t="s">
        <v>22</v>
      </c>
      <c r="D12" s="3" t="s">
        <v>102</v>
      </c>
      <c r="E12" s="4">
        <v>30000</v>
      </c>
      <c r="F12" s="3" t="s">
        <v>24</v>
      </c>
      <c r="G12" s="3" t="s">
        <v>38</v>
      </c>
      <c r="H12" s="3">
        <v>4</v>
      </c>
      <c r="I12" s="2" t="s">
        <v>39</v>
      </c>
      <c r="J12" s="2" t="s">
        <v>40</v>
      </c>
      <c r="N12" s="4">
        <f t="shared" si="0"/>
        <v>120000</v>
      </c>
    </row>
    <row r="13" spans="1:15" x14ac:dyDescent="0.3">
      <c r="A13" s="2" t="s">
        <v>41</v>
      </c>
      <c r="B13" s="3" t="s">
        <v>31</v>
      </c>
      <c r="C13" s="3" t="s">
        <v>22</v>
      </c>
      <c r="D13" s="3" t="s">
        <v>102</v>
      </c>
      <c r="E13" s="4">
        <v>30000</v>
      </c>
      <c r="F13" s="3" t="s">
        <v>24</v>
      </c>
      <c r="G13" s="3" t="s">
        <v>38</v>
      </c>
      <c r="H13" s="3">
        <v>4</v>
      </c>
      <c r="I13" s="2" t="s">
        <v>39</v>
      </c>
      <c r="J13" s="2" t="s">
        <v>40</v>
      </c>
      <c r="N13" s="4">
        <f t="shared" si="0"/>
        <v>120000</v>
      </c>
    </row>
    <row r="14" spans="1:15" x14ac:dyDescent="0.3">
      <c r="A14" s="2" t="s">
        <v>42</v>
      </c>
      <c r="B14" s="3" t="s">
        <v>31</v>
      </c>
      <c r="C14" s="3" t="s">
        <v>13</v>
      </c>
      <c r="D14" s="3" t="s">
        <v>43</v>
      </c>
      <c r="E14" s="4">
        <v>150000</v>
      </c>
      <c r="F14" s="3" t="s">
        <v>24</v>
      </c>
      <c r="G14" s="3" t="s">
        <v>38</v>
      </c>
      <c r="H14" s="3">
        <v>4</v>
      </c>
      <c r="I14" s="2" t="s">
        <v>39</v>
      </c>
      <c r="J14" s="2" t="s">
        <v>40</v>
      </c>
      <c r="N14" s="4">
        <f t="shared" si="0"/>
        <v>600000</v>
      </c>
    </row>
    <row r="15" spans="1:15" x14ac:dyDescent="0.3">
      <c r="A15" s="2" t="s">
        <v>44</v>
      </c>
      <c r="B15" s="3" t="s">
        <v>31</v>
      </c>
      <c r="C15" s="3" t="s">
        <v>22</v>
      </c>
      <c r="D15" s="3" t="s">
        <v>102</v>
      </c>
      <c r="E15" s="4">
        <v>30000</v>
      </c>
      <c r="F15" s="3" t="s">
        <v>45</v>
      </c>
      <c r="G15" s="3" t="s">
        <v>25</v>
      </c>
      <c r="H15" s="3">
        <v>4</v>
      </c>
      <c r="I15" s="2" t="s">
        <v>39</v>
      </c>
      <c r="J15" s="2" t="s">
        <v>46</v>
      </c>
      <c r="N15" s="4">
        <f t="shared" si="0"/>
        <v>120000</v>
      </c>
    </row>
    <row r="16" spans="1:15" x14ac:dyDescent="0.3">
      <c r="A16" s="2" t="s">
        <v>41</v>
      </c>
      <c r="B16" s="3" t="s">
        <v>31</v>
      </c>
      <c r="C16" s="3" t="s">
        <v>22</v>
      </c>
      <c r="D16" s="3" t="s">
        <v>102</v>
      </c>
      <c r="E16" s="4">
        <v>30000</v>
      </c>
      <c r="F16" s="3" t="s">
        <v>45</v>
      </c>
      <c r="G16" s="3" t="s">
        <v>25</v>
      </c>
      <c r="H16" s="3">
        <v>4</v>
      </c>
      <c r="I16" s="2" t="s">
        <v>39</v>
      </c>
      <c r="J16" s="2" t="s">
        <v>46</v>
      </c>
      <c r="N16" s="4">
        <f t="shared" si="0"/>
        <v>120000</v>
      </c>
    </row>
    <row r="17" spans="1:15" x14ac:dyDescent="0.3">
      <c r="A17" s="2" t="s">
        <v>42</v>
      </c>
      <c r="B17" s="3" t="s">
        <v>31</v>
      </c>
      <c r="C17" s="3" t="s">
        <v>13</v>
      </c>
      <c r="D17" s="3" t="s">
        <v>43</v>
      </c>
      <c r="E17" s="4">
        <v>150000</v>
      </c>
      <c r="F17" s="3" t="s">
        <v>45</v>
      </c>
      <c r="G17" s="3" t="s">
        <v>25</v>
      </c>
      <c r="H17" s="3">
        <v>4</v>
      </c>
      <c r="I17" s="2" t="s">
        <v>39</v>
      </c>
      <c r="J17" s="2" t="s">
        <v>46</v>
      </c>
      <c r="N17" s="4">
        <f t="shared" si="0"/>
        <v>600000</v>
      </c>
    </row>
    <row r="18" spans="1:15" x14ac:dyDescent="0.3">
      <c r="A18" s="2" t="s">
        <v>30</v>
      </c>
      <c r="B18" s="3" t="s">
        <v>47</v>
      </c>
      <c r="C18" s="3" t="s">
        <v>22</v>
      </c>
      <c r="D18" s="3" t="s">
        <v>102</v>
      </c>
      <c r="E18" s="4">
        <v>30000</v>
      </c>
      <c r="F18" s="3" t="s">
        <v>24</v>
      </c>
      <c r="G18" s="3" t="s">
        <v>33</v>
      </c>
      <c r="H18" s="3">
        <v>7.5</v>
      </c>
      <c r="I18" s="2" t="s">
        <v>34</v>
      </c>
      <c r="J18" s="2" t="s">
        <v>35</v>
      </c>
      <c r="N18" s="4">
        <f t="shared" si="0"/>
        <v>225000</v>
      </c>
    </row>
    <row r="19" spans="1:15" x14ac:dyDescent="0.3">
      <c r="A19" s="2" t="s">
        <v>36</v>
      </c>
      <c r="B19" s="3" t="s">
        <v>47</v>
      </c>
      <c r="C19" s="3" t="s">
        <v>13</v>
      </c>
      <c r="D19" s="3" t="s">
        <v>14</v>
      </c>
      <c r="E19" s="4">
        <v>100000</v>
      </c>
      <c r="F19" s="3" t="s">
        <v>24</v>
      </c>
      <c r="G19" s="3" t="s">
        <v>33</v>
      </c>
      <c r="H19" s="3">
        <v>7.5</v>
      </c>
      <c r="I19" s="2" t="s">
        <v>34</v>
      </c>
      <c r="J19" s="2" t="s">
        <v>35</v>
      </c>
      <c r="N19" s="4">
        <f t="shared" si="0"/>
        <v>750000</v>
      </c>
    </row>
    <row r="20" spans="1:15" x14ac:dyDescent="0.3">
      <c r="A20" s="2" t="s">
        <v>48</v>
      </c>
      <c r="B20" s="3" t="s">
        <v>47</v>
      </c>
      <c r="C20" s="3" t="s">
        <v>22</v>
      </c>
      <c r="D20" s="3" t="s">
        <v>102</v>
      </c>
      <c r="E20" s="4">
        <v>30000</v>
      </c>
      <c r="F20" s="3" t="s">
        <v>24</v>
      </c>
      <c r="G20" s="3" t="s">
        <v>38</v>
      </c>
      <c r="H20" s="3">
        <v>4</v>
      </c>
      <c r="I20" s="2" t="s">
        <v>39</v>
      </c>
      <c r="J20" s="2" t="s">
        <v>49</v>
      </c>
      <c r="N20" s="4">
        <f t="shared" si="0"/>
        <v>120000</v>
      </c>
    </row>
    <row r="21" spans="1:15" x14ac:dyDescent="0.3">
      <c r="A21" s="2" t="s">
        <v>41</v>
      </c>
      <c r="B21" s="3" t="s">
        <v>47</v>
      </c>
      <c r="C21" s="3" t="s">
        <v>22</v>
      </c>
      <c r="D21" s="3" t="s">
        <v>102</v>
      </c>
      <c r="E21" s="4">
        <v>30000</v>
      </c>
      <c r="F21" s="3" t="s">
        <v>24</v>
      </c>
      <c r="G21" s="3" t="s">
        <v>38</v>
      </c>
      <c r="H21" s="3">
        <v>4</v>
      </c>
      <c r="I21" s="2" t="s">
        <v>39</v>
      </c>
      <c r="J21" s="2" t="s">
        <v>49</v>
      </c>
      <c r="N21" s="4">
        <f t="shared" si="0"/>
        <v>120000</v>
      </c>
    </row>
    <row r="22" spans="1:15" x14ac:dyDescent="0.3">
      <c r="A22" s="2" t="s">
        <v>42</v>
      </c>
      <c r="B22" s="3" t="s">
        <v>47</v>
      </c>
      <c r="C22" s="3" t="s">
        <v>13</v>
      </c>
      <c r="D22" s="3" t="s">
        <v>43</v>
      </c>
      <c r="E22" s="4">
        <v>150000</v>
      </c>
      <c r="F22" s="3" t="s">
        <v>24</v>
      </c>
      <c r="G22" s="3" t="s">
        <v>38</v>
      </c>
      <c r="H22" s="3">
        <v>4</v>
      </c>
      <c r="I22" s="2" t="s">
        <v>39</v>
      </c>
      <c r="J22" s="2" t="s">
        <v>49</v>
      </c>
      <c r="N22" s="4">
        <f t="shared" si="0"/>
        <v>600000</v>
      </c>
    </row>
    <row r="23" spans="1:15" x14ac:dyDescent="0.3">
      <c r="A23" s="2" t="s">
        <v>48</v>
      </c>
      <c r="B23" s="3" t="s">
        <v>47</v>
      </c>
      <c r="C23" s="3" t="s">
        <v>22</v>
      </c>
      <c r="D23" s="3" t="s">
        <v>102</v>
      </c>
      <c r="E23" s="4">
        <v>30000</v>
      </c>
      <c r="F23" s="3" t="s">
        <v>45</v>
      </c>
      <c r="G23" s="3" t="s">
        <v>25</v>
      </c>
      <c r="H23" s="3">
        <v>4</v>
      </c>
      <c r="I23" s="2" t="s">
        <v>39</v>
      </c>
      <c r="J23" s="2" t="s">
        <v>50</v>
      </c>
      <c r="N23" s="4">
        <f t="shared" si="0"/>
        <v>120000</v>
      </c>
    </row>
    <row r="24" spans="1:15" x14ac:dyDescent="0.3">
      <c r="A24" s="2" t="s">
        <v>41</v>
      </c>
      <c r="B24" s="3" t="s">
        <v>47</v>
      </c>
      <c r="C24" s="3" t="s">
        <v>22</v>
      </c>
      <c r="D24" s="3" t="s">
        <v>102</v>
      </c>
      <c r="E24" s="4">
        <v>30000</v>
      </c>
      <c r="F24" s="3" t="s">
        <v>45</v>
      </c>
      <c r="G24" s="3" t="s">
        <v>25</v>
      </c>
      <c r="H24" s="3">
        <v>4</v>
      </c>
      <c r="I24" s="2" t="s">
        <v>39</v>
      </c>
      <c r="J24" s="2" t="s">
        <v>50</v>
      </c>
      <c r="N24" s="4">
        <f t="shared" si="0"/>
        <v>120000</v>
      </c>
    </row>
    <row r="25" spans="1:15" x14ac:dyDescent="0.3">
      <c r="A25" s="2" t="s">
        <v>42</v>
      </c>
      <c r="B25" s="3" t="s">
        <v>47</v>
      </c>
      <c r="C25" s="3" t="s">
        <v>13</v>
      </c>
      <c r="D25" s="3" t="s">
        <v>43</v>
      </c>
      <c r="E25" s="4">
        <v>150000</v>
      </c>
      <c r="F25" s="3" t="s">
        <v>45</v>
      </c>
      <c r="G25" s="3" t="s">
        <v>25</v>
      </c>
      <c r="H25" s="3">
        <v>4</v>
      </c>
      <c r="I25" s="2" t="s">
        <v>39</v>
      </c>
      <c r="J25" s="2" t="s">
        <v>50</v>
      </c>
      <c r="N25" s="4">
        <f t="shared" si="0"/>
        <v>600000</v>
      </c>
    </row>
    <row r="26" spans="1:15" x14ac:dyDescent="0.3">
      <c r="A26" s="2" t="s">
        <v>51</v>
      </c>
      <c r="B26" s="3" t="s">
        <v>47</v>
      </c>
      <c r="C26" s="3" t="s">
        <v>22</v>
      </c>
      <c r="D26" s="3" t="s">
        <v>102</v>
      </c>
      <c r="E26" s="4">
        <v>30000</v>
      </c>
      <c r="F26" s="3" t="s">
        <v>24</v>
      </c>
      <c r="G26" s="3" t="s">
        <v>52</v>
      </c>
      <c r="H26" s="3">
        <v>7</v>
      </c>
      <c r="I26" s="2" t="s">
        <v>53</v>
      </c>
      <c r="J26" s="2" t="s">
        <v>54</v>
      </c>
      <c r="K26">
        <v>100000</v>
      </c>
      <c r="L26">
        <v>50000</v>
      </c>
      <c r="N26" s="4">
        <f t="shared" si="0"/>
        <v>360000</v>
      </c>
    </row>
    <row r="27" spans="1:15" x14ac:dyDescent="0.3">
      <c r="A27" s="2" t="s">
        <v>55</v>
      </c>
      <c r="B27" s="3" t="s">
        <v>47</v>
      </c>
      <c r="C27" s="3" t="s">
        <v>22</v>
      </c>
      <c r="D27" s="3" t="s">
        <v>102</v>
      </c>
      <c r="E27" s="4">
        <v>30000</v>
      </c>
      <c r="F27" s="3" t="s">
        <v>24</v>
      </c>
      <c r="G27" s="3" t="s">
        <v>52</v>
      </c>
      <c r="H27" s="3">
        <v>7</v>
      </c>
      <c r="I27" s="2" t="s">
        <v>53</v>
      </c>
      <c r="J27" s="2" t="s">
        <v>54</v>
      </c>
      <c r="K27">
        <v>100000</v>
      </c>
      <c r="L27">
        <v>50000</v>
      </c>
      <c r="N27" s="4">
        <f t="shared" si="0"/>
        <v>360000</v>
      </c>
    </row>
    <row r="28" spans="1:15" x14ac:dyDescent="0.3">
      <c r="A28" s="2" t="s">
        <v>11</v>
      </c>
      <c r="B28" s="3" t="s">
        <v>47</v>
      </c>
      <c r="C28" s="3" t="s">
        <v>13</v>
      </c>
      <c r="D28" s="3" t="s">
        <v>14</v>
      </c>
      <c r="E28" s="4">
        <v>100000</v>
      </c>
      <c r="F28" s="3" t="s">
        <v>24</v>
      </c>
      <c r="G28" s="3" t="s">
        <v>52</v>
      </c>
      <c r="H28" s="3">
        <v>7</v>
      </c>
      <c r="I28" s="2" t="s">
        <v>53</v>
      </c>
      <c r="J28" s="2" t="s">
        <v>54</v>
      </c>
      <c r="K28">
        <v>100000</v>
      </c>
      <c r="L28">
        <v>50000</v>
      </c>
      <c r="N28" s="4">
        <f t="shared" si="0"/>
        <v>850000</v>
      </c>
    </row>
    <row r="29" spans="1:15" x14ac:dyDescent="0.3">
      <c r="A29" s="2" t="s">
        <v>56</v>
      </c>
      <c r="B29" s="3" t="s">
        <v>57</v>
      </c>
      <c r="C29" s="3" t="s">
        <v>22</v>
      </c>
      <c r="D29" s="3" t="s">
        <v>102</v>
      </c>
      <c r="E29" s="4">
        <v>30000</v>
      </c>
      <c r="F29" s="3" t="s">
        <v>32</v>
      </c>
      <c r="G29" s="3" t="s">
        <v>33</v>
      </c>
      <c r="H29" s="3">
        <v>4</v>
      </c>
      <c r="I29" s="2" t="s">
        <v>34</v>
      </c>
      <c r="J29" s="2" t="s">
        <v>35</v>
      </c>
      <c r="N29" s="4">
        <f t="shared" si="0"/>
        <v>120000</v>
      </c>
    </row>
    <row r="30" spans="1:15" x14ac:dyDescent="0.3">
      <c r="A30" s="2" t="s">
        <v>58</v>
      </c>
      <c r="B30" s="3" t="s">
        <v>57</v>
      </c>
      <c r="C30" s="3" t="s">
        <v>13</v>
      </c>
      <c r="D30" s="3" t="s">
        <v>14</v>
      </c>
      <c r="E30" s="4">
        <v>100000</v>
      </c>
      <c r="F30" s="3" t="s">
        <v>32</v>
      </c>
      <c r="G30" s="3" t="s">
        <v>33</v>
      </c>
      <c r="H30" s="3">
        <v>4</v>
      </c>
      <c r="I30" s="2" t="s">
        <v>34</v>
      </c>
      <c r="J30" s="2" t="s">
        <v>35</v>
      </c>
      <c r="N30" s="4">
        <f t="shared" si="0"/>
        <v>400000</v>
      </c>
    </row>
    <row r="31" spans="1:15" x14ac:dyDescent="0.3">
      <c r="A31" s="2" t="s">
        <v>59</v>
      </c>
      <c r="B31" s="3" t="s">
        <v>57</v>
      </c>
      <c r="C31" s="3" t="s">
        <v>22</v>
      </c>
      <c r="D31" s="3" t="s">
        <v>102</v>
      </c>
      <c r="E31" s="4">
        <v>30000</v>
      </c>
      <c r="F31" s="3" t="s">
        <v>60</v>
      </c>
      <c r="G31" s="3" t="s">
        <v>52</v>
      </c>
      <c r="H31" s="3">
        <v>6</v>
      </c>
      <c r="I31" s="2" t="s">
        <v>61</v>
      </c>
      <c r="J31" s="2" t="s">
        <v>62</v>
      </c>
      <c r="M31" s="4">
        <v>30000</v>
      </c>
      <c r="N31" s="4">
        <f t="shared" si="0"/>
        <v>210000</v>
      </c>
      <c r="O31" t="s">
        <v>107</v>
      </c>
    </row>
    <row r="32" spans="1:15" x14ac:dyDescent="0.3">
      <c r="A32" s="2" t="s">
        <v>63</v>
      </c>
      <c r="B32" s="3" t="s">
        <v>57</v>
      </c>
      <c r="C32" s="3" t="s">
        <v>13</v>
      </c>
      <c r="D32" s="3" t="s">
        <v>14</v>
      </c>
      <c r="E32" s="4">
        <v>100000</v>
      </c>
      <c r="F32" s="3" t="s">
        <v>60</v>
      </c>
      <c r="G32" s="3" t="s">
        <v>52</v>
      </c>
      <c r="H32" s="3">
        <v>6</v>
      </c>
      <c r="I32" s="2" t="s">
        <v>61</v>
      </c>
      <c r="J32" s="2" t="s">
        <v>62</v>
      </c>
      <c r="N32" s="4">
        <f t="shared" si="0"/>
        <v>600000</v>
      </c>
    </row>
    <row r="33" spans="1:14" x14ac:dyDescent="0.3">
      <c r="A33" s="2" t="s">
        <v>64</v>
      </c>
      <c r="B33" s="3" t="s">
        <v>57</v>
      </c>
      <c r="C33" s="3" t="s">
        <v>22</v>
      </c>
      <c r="D33" s="3" t="s">
        <v>102</v>
      </c>
      <c r="E33" s="4">
        <v>30000</v>
      </c>
      <c r="F33" s="3" t="s">
        <v>65</v>
      </c>
      <c r="G33" s="3" t="s">
        <v>33</v>
      </c>
      <c r="H33" s="3">
        <v>8</v>
      </c>
      <c r="I33" s="2" t="s">
        <v>66</v>
      </c>
      <c r="J33" s="2" t="s">
        <v>67</v>
      </c>
      <c r="N33" s="4">
        <f t="shared" si="0"/>
        <v>240000</v>
      </c>
    </row>
    <row r="34" spans="1:14" x14ac:dyDescent="0.3">
      <c r="A34" s="2" t="s">
        <v>68</v>
      </c>
      <c r="B34" s="3" t="s">
        <v>57</v>
      </c>
      <c r="C34" s="3" t="s">
        <v>22</v>
      </c>
      <c r="D34" s="3" t="s">
        <v>102</v>
      </c>
      <c r="E34" s="4">
        <v>30000</v>
      </c>
      <c r="F34" s="3" t="s">
        <v>65</v>
      </c>
      <c r="G34" s="3" t="s">
        <v>33</v>
      </c>
      <c r="H34" s="3">
        <v>8</v>
      </c>
      <c r="I34" s="2" t="s">
        <v>66</v>
      </c>
      <c r="J34" s="2" t="s">
        <v>67</v>
      </c>
      <c r="N34" s="4">
        <f t="shared" si="0"/>
        <v>240000</v>
      </c>
    </row>
    <row r="35" spans="1:14" x14ac:dyDescent="0.3">
      <c r="A35" s="2" t="s">
        <v>69</v>
      </c>
      <c r="B35" s="3" t="s">
        <v>57</v>
      </c>
      <c r="C35" s="3" t="s">
        <v>13</v>
      </c>
      <c r="D35" s="3" t="s">
        <v>14</v>
      </c>
      <c r="E35" s="4">
        <v>100000</v>
      </c>
      <c r="F35" s="3" t="s">
        <v>65</v>
      </c>
      <c r="G35" s="3" t="s">
        <v>33</v>
      </c>
      <c r="H35" s="3">
        <v>8</v>
      </c>
      <c r="I35" s="2" t="s">
        <v>66</v>
      </c>
      <c r="J35" s="2" t="s">
        <v>67</v>
      </c>
      <c r="N35" s="4">
        <f t="shared" si="0"/>
        <v>800000</v>
      </c>
    </row>
    <row r="36" spans="1:14" x14ac:dyDescent="0.3">
      <c r="A36" s="2" t="s">
        <v>56</v>
      </c>
      <c r="B36" s="3" t="s">
        <v>70</v>
      </c>
      <c r="C36" s="3" t="s">
        <v>22</v>
      </c>
      <c r="D36" s="3" t="s">
        <v>102</v>
      </c>
      <c r="E36" s="4">
        <v>30000</v>
      </c>
      <c r="F36" s="3" t="s">
        <v>24</v>
      </c>
      <c r="G36" s="3" t="s">
        <v>33</v>
      </c>
      <c r="H36" s="3">
        <v>7.5</v>
      </c>
      <c r="I36" s="2" t="s">
        <v>34</v>
      </c>
      <c r="J36" s="2" t="s">
        <v>35</v>
      </c>
      <c r="N36" s="4">
        <f t="shared" si="0"/>
        <v>225000</v>
      </c>
    </row>
    <row r="37" spans="1:14" x14ac:dyDescent="0.3">
      <c r="A37" s="2" t="s">
        <v>58</v>
      </c>
      <c r="B37" s="3" t="s">
        <v>70</v>
      </c>
      <c r="C37" s="3" t="s">
        <v>13</v>
      </c>
      <c r="D37" s="3" t="s">
        <v>14</v>
      </c>
      <c r="E37" s="4">
        <v>100000</v>
      </c>
      <c r="F37" s="3" t="s">
        <v>24</v>
      </c>
      <c r="G37" s="3" t="s">
        <v>33</v>
      </c>
      <c r="H37" s="3">
        <v>7.5</v>
      </c>
      <c r="I37" s="2" t="s">
        <v>34</v>
      </c>
      <c r="J37" s="2" t="s">
        <v>35</v>
      </c>
      <c r="N37" s="4">
        <f t="shared" si="0"/>
        <v>750000</v>
      </c>
    </row>
    <row r="38" spans="1:14" x14ac:dyDescent="0.3">
      <c r="A38" s="2" t="s">
        <v>64</v>
      </c>
      <c r="B38" s="3" t="s">
        <v>70</v>
      </c>
      <c r="C38" s="3" t="s">
        <v>22</v>
      </c>
      <c r="D38" s="3" t="s">
        <v>102</v>
      </c>
      <c r="E38" s="4">
        <v>30000</v>
      </c>
      <c r="F38" s="3" t="s">
        <v>65</v>
      </c>
      <c r="G38" s="3" t="s">
        <v>33</v>
      </c>
      <c r="H38" s="3">
        <v>8</v>
      </c>
      <c r="I38" s="2" t="s">
        <v>66</v>
      </c>
      <c r="J38" s="2" t="s">
        <v>67</v>
      </c>
      <c r="N38" s="4">
        <f t="shared" si="0"/>
        <v>240000</v>
      </c>
    </row>
    <row r="39" spans="1:14" x14ac:dyDescent="0.3">
      <c r="A39" s="2" t="s">
        <v>68</v>
      </c>
      <c r="B39" s="3" t="s">
        <v>70</v>
      </c>
      <c r="C39" s="3" t="s">
        <v>22</v>
      </c>
      <c r="D39" s="3" t="s">
        <v>102</v>
      </c>
      <c r="E39" s="4">
        <v>30000</v>
      </c>
      <c r="F39" s="3" t="s">
        <v>65</v>
      </c>
      <c r="G39" s="3" t="s">
        <v>33</v>
      </c>
      <c r="H39" s="3">
        <v>8</v>
      </c>
      <c r="I39" s="2" t="s">
        <v>66</v>
      </c>
      <c r="J39" s="2" t="s">
        <v>67</v>
      </c>
      <c r="N39" s="4">
        <f t="shared" si="0"/>
        <v>240000</v>
      </c>
    </row>
    <row r="40" spans="1:14" x14ac:dyDescent="0.3">
      <c r="A40" s="2" t="s">
        <v>69</v>
      </c>
      <c r="B40" s="3" t="s">
        <v>70</v>
      </c>
      <c r="C40" s="3" t="s">
        <v>13</v>
      </c>
      <c r="D40" s="3" t="s">
        <v>14</v>
      </c>
      <c r="E40" s="4">
        <v>100000</v>
      </c>
      <c r="F40" s="3" t="s">
        <v>65</v>
      </c>
      <c r="G40" s="3" t="s">
        <v>33</v>
      </c>
      <c r="H40" s="3">
        <v>8</v>
      </c>
      <c r="I40" s="2" t="s">
        <v>66</v>
      </c>
      <c r="J40" s="2" t="s">
        <v>67</v>
      </c>
      <c r="N40" s="4">
        <f t="shared" si="0"/>
        <v>800000</v>
      </c>
    </row>
    <row r="41" spans="1:14" x14ac:dyDescent="0.3">
      <c r="A41" s="2" t="s">
        <v>64</v>
      </c>
      <c r="B41" s="3" t="s">
        <v>71</v>
      </c>
      <c r="C41" s="3" t="s">
        <v>22</v>
      </c>
      <c r="D41" s="3" t="s">
        <v>102</v>
      </c>
      <c r="E41" s="4">
        <v>30000</v>
      </c>
      <c r="F41" s="3" t="s">
        <v>24</v>
      </c>
      <c r="G41" s="3" t="s">
        <v>25</v>
      </c>
      <c r="H41" s="3">
        <v>8</v>
      </c>
      <c r="I41" s="2" t="s">
        <v>66</v>
      </c>
      <c r="J41" s="2" t="s">
        <v>72</v>
      </c>
      <c r="N41" s="4">
        <f t="shared" si="0"/>
        <v>240000</v>
      </c>
    </row>
    <row r="42" spans="1:14" x14ac:dyDescent="0.3">
      <c r="A42" s="2" t="s">
        <v>73</v>
      </c>
      <c r="B42" s="3" t="s">
        <v>71</v>
      </c>
      <c r="C42" s="3" t="s">
        <v>22</v>
      </c>
      <c r="D42" s="3" t="s">
        <v>102</v>
      </c>
      <c r="E42" s="4">
        <v>30000</v>
      </c>
      <c r="F42" s="3" t="s">
        <v>24</v>
      </c>
      <c r="G42" s="3" t="s">
        <v>25</v>
      </c>
      <c r="H42" s="3">
        <v>8</v>
      </c>
      <c r="I42" s="2" t="s">
        <v>66</v>
      </c>
      <c r="J42" s="2" t="s">
        <v>72</v>
      </c>
      <c r="N42" s="4">
        <f t="shared" si="0"/>
        <v>240000</v>
      </c>
    </row>
    <row r="43" spans="1:14" x14ac:dyDescent="0.3">
      <c r="A43" s="2" t="s">
        <v>74</v>
      </c>
      <c r="B43" s="3" t="s">
        <v>71</v>
      </c>
      <c r="C43" s="3" t="s">
        <v>13</v>
      </c>
      <c r="D43" s="3" t="s">
        <v>14</v>
      </c>
      <c r="E43" s="4">
        <v>100000</v>
      </c>
      <c r="F43" s="3" t="s">
        <v>24</v>
      </c>
      <c r="G43" s="3" t="s">
        <v>25</v>
      </c>
      <c r="H43" s="3">
        <v>8</v>
      </c>
      <c r="I43" s="2" t="s">
        <v>66</v>
      </c>
      <c r="J43" s="2" t="s">
        <v>72</v>
      </c>
      <c r="N43" s="4">
        <f t="shared" si="0"/>
        <v>800000</v>
      </c>
    </row>
    <row r="44" spans="1:14" x14ac:dyDescent="0.3">
      <c r="A44" s="2" t="s">
        <v>64</v>
      </c>
      <c r="B44" s="3" t="s">
        <v>75</v>
      </c>
      <c r="C44" s="3" t="s">
        <v>22</v>
      </c>
      <c r="D44" s="3" t="s">
        <v>102</v>
      </c>
      <c r="E44" s="4">
        <v>30000</v>
      </c>
      <c r="F44" s="3" t="s">
        <v>24</v>
      </c>
      <c r="G44" s="3" t="s">
        <v>25</v>
      </c>
      <c r="H44" s="3">
        <v>8</v>
      </c>
      <c r="I44" s="2" t="s">
        <v>66</v>
      </c>
      <c r="J44" s="2" t="s">
        <v>72</v>
      </c>
      <c r="N44" s="4">
        <f t="shared" si="0"/>
        <v>240000</v>
      </c>
    </row>
    <row r="45" spans="1:14" x14ac:dyDescent="0.3">
      <c r="A45" s="2" t="s">
        <v>73</v>
      </c>
      <c r="B45" s="3" t="s">
        <v>75</v>
      </c>
      <c r="C45" s="3" t="s">
        <v>22</v>
      </c>
      <c r="D45" s="3" t="s">
        <v>102</v>
      </c>
      <c r="E45" s="4">
        <v>30000</v>
      </c>
      <c r="F45" s="3" t="s">
        <v>24</v>
      </c>
      <c r="G45" s="3" t="s">
        <v>25</v>
      </c>
      <c r="H45" s="3">
        <v>8</v>
      </c>
      <c r="I45" s="2" t="s">
        <v>66</v>
      </c>
      <c r="J45" s="2" t="s">
        <v>72</v>
      </c>
      <c r="N45" s="4">
        <f t="shared" si="0"/>
        <v>240000</v>
      </c>
    </row>
    <row r="46" spans="1:14" x14ac:dyDescent="0.3">
      <c r="A46" s="2" t="s">
        <v>74</v>
      </c>
      <c r="B46" s="3" t="s">
        <v>75</v>
      </c>
      <c r="C46" s="3" t="s">
        <v>13</v>
      </c>
      <c r="D46" s="3" t="s">
        <v>14</v>
      </c>
      <c r="E46" s="4">
        <v>100000</v>
      </c>
      <c r="F46" s="3" t="s">
        <v>24</v>
      </c>
      <c r="G46" s="3" t="s">
        <v>25</v>
      </c>
      <c r="H46" s="3">
        <v>8</v>
      </c>
      <c r="I46" s="2" t="s">
        <v>66</v>
      </c>
      <c r="J46" s="2" t="s">
        <v>72</v>
      </c>
      <c r="N46" s="4">
        <f t="shared" si="0"/>
        <v>800000</v>
      </c>
    </row>
    <row r="47" spans="1:14" x14ac:dyDescent="0.3">
      <c r="A47" s="2" t="s">
        <v>76</v>
      </c>
      <c r="B47" s="3" t="s">
        <v>77</v>
      </c>
      <c r="C47" s="3" t="s">
        <v>22</v>
      </c>
      <c r="D47" s="3" t="s">
        <v>102</v>
      </c>
      <c r="E47" s="4">
        <v>30000</v>
      </c>
      <c r="F47" s="3" t="s">
        <v>65</v>
      </c>
      <c r="G47" s="3" t="s">
        <v>33</v>
      </c>
      <c r="H47" s="3">
        <v>8</v>
      </c>
      <c r="I47" s="2" t="s">
        <v>66</v>
      </c>
      <c r="J47" s="2" t="s">
        <v>67</v>
      </c>
      <c r="N47" s="4">
        <f t="shared" si="0"/>
        <v>240000</v>
      </c>
    </row>
    <row r="48" spans="1:14" x14ac:dyDescent="0.3">
      <c r="A48" s="2" t="s">
        <v>68</v>
      </c>
      <c r="B48" s="3" t="s">
        <v>77</v>
      </c>
      <c r="C48" s="3" t="s">
        <v>22</v>
      </c>
      <c r="D48" s="3" t="s">
        <v>102</v>
      </c>
      <c r="E48" s="4">
        <v>30000</v>
      </c>
      <c r="F48" s="3" t="s">
        <v>65</v>
      </c>
      <c r="G48" s="3" t="s">
        <v>33</v>
      </c>
      <c r="H48" s="3">
        <v>8</v>
      </c>
      <c r="I48" s="2" t="s">
        <v>66</v>
      </c>
      <c r="J48" s="2" t="s">
        <v>67</v>
      </c>
      <c r="N48" s="4">
        <f t="shared" si="0"/>
        <v>240000</v>
      </c>
    </row>
    <row r="49" spans="1:15" x14ac:dyDescent="0.3">
      <c r="A49" s="2" t="s">
        <v>58</v>
      </c>
      <c r="B49" s="3" t="s">
        <v>77</v>
      </c>
      <c r="C49" s="3" t="s">
        <v>13</v>
      </c>
      <c r="D49" s="3" t="s">
        <v>14</v>
      </c>
      <c r="E49" s="4">
        <v>100000</v>
      </c>
      <c r="F49" s="3" t="s">
        <v>65</v>
      </c>
      <c r="G49" s="3" t="s">
        <v>33</v>
      </c>
      <c r="H49" s="3">
        <v>8</v>
      </c>
      <c r="I49" s="2" t="s">
        <v>66</v>
      </c>
      <c r="J49" s="2" t="s">
        <v>67</v>
      </c>
      <c r="N49" s="4">
        <f t="shared" si="0"/>
        <v>800000</v>
      </c>
    </row>
    <row r="50" spans="1:15" x14ac:dyDescent="0.3">
      <c r="A50" s="2" t="s">
        <v>76</v>
      </c>
      <c r="B50" s="3" t="s">
        <v>78</v>
      </c>
      <c r="C50" s="3" t="s">
        <v>22</v>
      </c>
      <c r="D50" s="3" t="s">
        <v>102</v>
      </c>
      <c r="E50" s="4">
        <v>30000</v>
      </c>
      <c r="F50" s="3" t="s">
        <v>65</v>
      </c>
      <c r="G50" s="3" t="s">
        <v>33</v>
      </c>
      <c r="H50" s="3">
        <v>8</v>
      </c>
      <c r="I50" s="2" t="s">
        <v>66</v>
      </c>
      <c r="J50" s="2" t="s">
        <v>67</v>
      </c>
      <c r="N50" s="4">
        <f t="shared" si="0"/>
        <v>240000</v>
      </c>
    </row>
    <row r="51" spans="1:15" x14ac:dyDescent="0.3">
      <c r="A51" s="2" t="s">
        <v>68</v>
      </c>
      <c r="B51" s="3" t="s">
        <v>78</v>
      </c>
      <c r="C51" s="3" t="s">
        <v>22</v>
      </c>
      <c r="D51" s="3" t="s">
        <v>102</v>
      </c>
      <c r="E51" s="4">
        <v>30000</v>
      </c>
      <c r="F51" s="3" t="s">
        <v>65</v>
      </c>
      <c r="G51" s="3" t="s">
        <v>33</v>
      </c>
      <c r="H51" s="3">
        <v>8</v>
      </c>
      <c r="I51" s="2" t="s">
        <v>66</v>
      </c>
      <c r="J51" s="2" t="s">
        <v>67</v>
      </c>
      <c r="N51" s="4">
        <f t="shared" si="0"/>
        <v>240000</v>
      </c>
    </row>
    <row r="52" spans="1:15" x14ac:dyDescent="0.3">
      <c r="A52" s="2" t="s">
        <v>58</v>
      </c>
      <c r="B52" s="3" t="s">
        <v>78</v>
      </c>
      <c r="C52" s="3" t="s">
        <v>13</v>
      </c>
      <c r="D52" s="3" t="s">
        <v>14</v>
      </c>
      <c r="E52" s="4">
        <v>100000</v>
      </c>
      <c r="F52" s="3" t="s">
        <v>65</v>
      </c>
      <c r="G52" s="3" t="s">
        <v>33</v>
      </c>
      <c r="H52" s="3">
        <v>8</v>
      </c>
      <c r="I52" s="2" t="s">
        <v>66</v>
      </c>
      <c r="J52" s="2" t="s">
        <v>67</v>
      </c>
      <c r="N52" s="4">
        <f t="shared" si="0"/>
        <v>800000</v>
      </c>
    </row>
    <row r="53" spans="1:15" x14ac:dyDescent="0.3">
      <c r="A53" s="2" t="s">
        <v>51</v>
      </c>
      <c r="B53" s="3" t="s">
        <v>78</v>
      </c>
      <c r="C53" s="3" t="s">
        <v>22</v>
      </c>
      <c r="D53" s="3" t="s">
        <v>102</v>
      </c>
      <c r="E53" s="4">
        <v>30000</v>
      </c>
      <c r="F53" s="3" t="s">
        <v>24</v>
      </c>
      <c r="G53" s="3" t="s">
        <v>52</v>
      </c>
      <c r="H53" s="3">
        <v>7</v>
      </c>
      <c r="I53" s="2" t="s">
        <v>53</v>
      </c>
      <c r="J53" s="2" t="s">
        <v>54</v>
      </c>
      <c r="K53">
        <v>100000</v>
      </c>
      <c r="L53">
        <v>50000</v>
      </c>
      <c r="N53" s="4">
        <f t="shared" si="0"/>
        <v>360000</v>
      </c>
    </row>
    <row r="54" spans="1:15" x14ac:dyDescent="0.3">
      <c r="A54" s="2" t="s">
        <v>55</v>
      </c>
      <c r="B54" s="3" t="s">
        <v>78</v>
      </c>
      <c r="C54" s="3" t="s">
        <v>22</v>
      </c>
      <c r="D54" s="3" t="s">
        <v>102</v>
      </c>
      <c r="E54" s="4">
        <v>30000</v>
      </c>
      <c r="F54" s="3" t="s">
        <v>24</v>
      </c>
      <c r="G54" s="3" t="s">
        <v>52</v>
      </c>
      <c r="H54" s="3">
        <v>7</v>
      </c>
      <c r="I54" s="2" t="s">
        <v>53</v>
      </c>
      <c r="J54" s="2" t="s">
        <v>54</v>
      </c>
      <c r="K54">
        <v>100000</v>
      </c>
      <c r="L54">
        <v>50000</v>
      </c>
      <c r="N54" s="4">
        <f t="shared" si="0"/>
        <v>360000</v>
      </c>
    </row>
    <row r="55" spans="1:15" x14ac:dyDescent="0.3">
      <c r="A55" s="2" t="s">
        <v>11</v>
      </c>
      <c r="B55" s="3" t="s">
        <v>78</v>
      </c>
      <c r="C55" s="3" t="s">
        <v>13</v>
      </c>
      <c r="D55" s="3" t="s">
        <v>14</v>
      </c>
      <c r="E55" s="4">
        <v>100000</v>
      </c>
      <c r="F55" s="3" t="s">
        <v>24</v>
      </c>
      <c r="G55" s="3" t="s">
        <v>52</v>
      </c>
      <c r="H55" s="3">
        <v>7</v>
      </c>
      <c r="I55" s="2" t="s">
        <v>53</v>
      </c>
      <c r="J55" s="2" t="s">
        <v>54</v>
      </c>
      <c r="K55">
        <v>100000</v>
      </c>
      <c r="L55">
        <v>50000</v>
      </c>
      <c r="N55" s="4">
        <f t="shared" si="0"/>
        <v>850000</v>
      </c>
    </row>
    <row r="56" spans="1:15" x14ac:dyDescent="0.3">
      <c r="A56" s="2" t="s">
        <v>79</v>
      </c>
      <c r="B56" s="3" t="s">
        <v>80</v>
      </c>
      <c r="C56" s="3" t="s">
        <v>104</v>
      </c>
      <c r="D56" s="3" t="s">
        <v>14</v>
      </c>
      <c r="E56" s="4">
        <v>100000</v>
      </c>
      <c r="F56" s="3" t="s">
        <v>24</v>
      </c>
      <c r="G56" s="3" t="s">
        <v>52</v>
      </c>
      <c r="H56" s="3">
        <v>7</v>
      </c>
      <c r="I56" s="2" t="s">
        <v>81</v>
      </c>
      <c r="J56" s="2" t="s">
        <v>82</v>
      </c>
      <c r="K56">
        <v>100000</v>
      </c>
      <c r="L56">
        <v>50000</v>
      </c>
      <c r="N56" s="4">
        <f t="shared" si="0"/>
        <v>850000</v>
      </c>
      <c r="O56" t="s">
        <v>106</v>
      </c>
    </row>
    <row r="57" spans="1:15" x14ac:dyDescent="0.3">
      <c r="A57" s="2" t="s">
        <v>83</v>
      </c>
      <c r="B57" s="3" t="s">
        <v>80</v>
      </c>
      <c r="C57" s="3" t="s">
        <v>22</v>
      </c>
      <c r="D57" s="3" t="s">
        <v>102</v>
      </c>
      <c r="E57" s="4">
        <v>30000</v>
      </c>
      <c r="F57" s="3" t="s">
        <v>24</v>
      </c>
      <c r="G57" s="3" t="s">
        <v>52</v>
      </c>
      <c r="H57" s="3">
        <v>7</v>
      </c>
      <c r="I57" s="2" t="s">
        <v>81</v>
      </c>
      <c r="J57" s="2" t="s">
        <v>82</v>
      </c>
      <c r="K57">
        <v>100000</v>
      </c>
      <c r="L57">
        <v>50000</v>
      </c>
      <c r="N57" s="4">
        <f t="shared" si="0"/>
        <v>360000</v>
      </c>
    </row>
    <row r="58" spans="1:15" x14ac:dyDescent="0.3">
      <c r="A58" s="2" t="s">
        <v>84</v>
      </c>
      <c r="B58" s="3" t="s">
        <v>80</v>
      </c>
      <c r="C58" s="3" t="s">
        <v>13</v>
      </c>
      <c r="D58" s="3" t="s">
        <v>43</v>
      </c>
      <c r="E58" s="4">
        <v>150000</v>
      </c>
      <c r="F58" s="3" t="s">
        <v>24</v>
      </c>
      <c r="G58" s="3" t="s">
        <v>52</v>
      </c>
      <c r="H58" s="3">
        <v>7</v>
      </c>
      <c r="I58" s="2" t="s">
        <v>81</v>
      </c>
      <c r="J58" s="2" t="s">
        <v>82</v>
      </c>
      <c r="K58">
        <v>100000</v>
      </c>
      <c r="L58">
        <v>50000</v>
      </c>
      <c r="N58" s="4">
        <f t="shared" si="0"/>
        <v>1200000</v>
      </c>
    </row>
    <row r="59" spans="1:15" x14ac:dyDescent="0.3">
      <c r="A59" s="2" t="s">
        <v>37</v>
      </c>
      <c r="B59" s="3" t="s">
        <v>80</v>
      </c>
      <c r="C59" s="3" t="s">
        <v>22</v>
      </c>
      <c r="D59" s="3" t="s">
        <v>102</v>
      </c>
      <c r="E59" s="4">
        <v>30000</v>
      </c>
      <c r="F59" s="3" t="s">
        <v>24</v>
      </c>
      <c r="G59" s="3" t="s">
        <v>85</v>
      </c>
      <c r="H59" s="3">
        <v>3.5</v>
      </c>
      <c r="I59" s="2" t="s">
        <v>86</v>
      </c>
      <c r="J59" s="2" t="s">
        <v>87</v>
      </c>
      <c r="N59" s="4">
        <f t="shared" si="0"/>
        <v>105000</v>
      </c>
    </row>
    <row r="60" spans="1:15" x14ac:dyDescent="0.3">
      <c r="A60" s="2" t="s">
        <v>88</v>
      </c>
      <c r="B60" s="3" t="s">
        <v>80</v>
      </c>
      <c r="C60" s="3" t="s">
        <v>22</v>
      </c>
      <c r="D60" s="3" t="s">
        <v>102</v>
      </c>
      <c r="E60" s="4">
        <v>30000</v>
      </c>
      <c r="F60" s="3" t="s">
        <v>24</v>
      </c>
      <c r="G60" s="3" t="s">
        <v>85</v>
      </c>
      <c r="H60" s="3">
        <v>3.5</v>
      </c>
      <c r="I60" s="2" t="s">
        <v>86</v>
      </c>
      <c r="J60" s="2" t="s">
        <v>87</v>
      </c>
      <c r="N60" s="4">
        <f t="shared" si="0"/>
        <v>105000</v>
      </c>
    </row>
    <row r="61" spans="1:15" x14ac:dyDescent="0.3">
      <c r="A61" s="2" t="s">
        <v>89</v>
      </c>
      <c r="B61" s="3" t="s">
        <v>80</v>
      </c>
      <c r="C61" s="3" t="s">
        <v>13</v>
      </c>
      <c r="D61" s="3" t="s">
        <v>23</v>
      </c>
      <c r="E61" s="4">
        <v>80000</v>
      </c>
      <c r="F61" s="3" t="s">
        <v>24</v>
      </c>
      <c r="G61" s="3" t="s">
        <v>85</v>
      </c>
      <c r="H61" s="3">
        <v>3.5</v>
      </c>
      <c r="I61" s="2" t="s">
        <v>86</v>
      </c>
      <c r="J61" s="2" t="s">
        <v>87</v>
      </c>
      <c r="N61" s="4">
        <f t="shared" si="0"/>
        <v>280000</v>
      </c>
    </row>
    <row r="62" spans="1:15" x14ac:dyDescent="0.3">
      <c r="A62" s="2" t="s">
        <v>108</v>
      </c>
      <c r="B62" s="3" t="s">
        <v>91</v>
      </c>
      <c r="C62" s="3" t="s">
        <v>109</v>
      </c>
      <c r="D62" s="3" t="s">
        <v>14</v>
      </c>
      <c r="E62" s="4">
        <v>100000</v>
      </c>
      <c r="F62" s="3" t="s">
        <v>24</v>
      </c>
      <c r="G62" s="3" t="s">
        <v>25</v>
      </c>
      <c r="H62" s="3">
        <v>8</v>
      </c>
      <c r="I62" s="2" t="s">
        <v>92</v>
      </c>
      <c r="J62" s="2" t="s">
        <v>93</v>
      </c>
      <c r="N62" s="4">
        <f t="shared" si="0"/>
        <v>800000</v>
      </c>
    </row>
    <row r="63" spans="1:15" x14ac:dyDescent="0.3">
      <c r="A63" s="2" t="s">
        <v>90</v>
      </c>
      <c r="B63" s="3" t="s">
        <v>91</v>
      </c>
      <c r="C63" s="3" t="s">
        <v>22</v>
      </c>
      <c r="D63" s="3" t="s">
        <v>102</v>
      </c>
      <c r="E63" s="4">
        <v>30000</v>
      </c>
      <c r="F63" s="3" t="s">
        <v>24</v>
      </c>
      <c r="G63" s="3" t="s">
        <v>25</v>
      </c>
      <c r="H63" s="3">
        <v>8</v>
      </c>
      <c r="I63" s="2" t="s">
        <v>92</v>
      </c>
      <c r="J63" s="2" t="s">
        <v>93</v>
      </c>
      <c r="N63" s="4">
        <f t="shared" si="0"/>
        <v>240000</v>
      </c>
    </row>
    <row r="64" spans="1:15" x14ac:dyDescent="0.3">
      <c r="A64" s="2" t="s">
        <v>94</v>
      </c>
      <c r="B64" s="3" t="s">
        <v>91</v>
      </c>
      <c r="C64" s="3" t="s">
        <v>22</v>
      </c>
      <c r="D64" s="3" t="s">
        <v>102</v>
      </c>
      <c r="E64" s="4">
        <v>30000</v>
      </c>
      <c r="F64" s="3" t="s">
        <v>24</v>
      </c>
      <c r="G64" s="3" t="s">
        <v>25</v>
      </c>
      <c r="H64" s="3">
        <v>8</v>
      </c>
      <c r="I64" s="2" t="s">
        <v>92</v>
      </c>
      <c r="J64" s="2" t="s">
        <v>93</v>
      </c>
      <c r="N64" s="4">
        <f t="shared" si="0"/>
        <v>240000</v>
      </c>
    </row>
    <row r="65" spans="1:14" x14ac:dyDescent="0.3">
      <c r="A65" s="2" t="s">
        <v>95</v>
      </c>
      <c r="B65" s="3" t="s">
        <v>91</v>
      </c>
      <c r="C65" s="3" t="s">
        <v>22</v>
      </c>
      <c r="D65" s="3" t="s">
        <v>102</v>
      </c>
      <c r="E65" s="4">
        <v>30000</v>
      </c>
      <c r="F65" s="3" t="s">
        <v>24</v>
      </c>
      <c r="G65" s="3" t="s">
        <v>25</v>
      </c>
      <c r="H65" s="3">
        <v>8</v>
      </c>
      <c r="I65" s="2" t="s">
        <v>92</v>
      </c>
      <c r="J65" s="2" t="s">
        <v>93</v>
      </c>
      <c r="N65" s="4">
        <f t="shared" si="0"/>
        <v>240000</v>
      </c>
    </row>
    <row r="66" spans="1:14" x14ac:dyDescent="0.3">
      <c r="A66" s="2" t="s">
        <v>96</v>
      </c>
      <c r="B66" s="3" t="s">
        <v>91</v>
      </c>
      <c r="C66" s="3" t="s">
        <v>22</v>
      </c>
      <c r="D66" s="3" t="s">
        <v>102</v>
      </c>
      <c r="E66" s="4">
        <v>30000</v>
      </c>
      <c r="F66" s="3" t="s">
        <v>24</v>
      </c>
      <c r="G66" s="3" t="s">
        <v>25</v>
      </c>
      <c r="H66" s="3">
        <v>8</v>
      </c>
      <c r="I66" s="2" t="s">
        <v>92</v>
      </c>
      <c r="J66" s="2" t="s">
        <v>93</v>
      </c>
      <c r="N66" s="4">
        <f t="shared" si="0"/>
        <v>240000</v>
      </c>
    </row>
    <row r="67" spans="1:14" x14ac:dyDescent="0.3">
      <c r="A67" s="5" t="s">
        <v>97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N67" s="7">
        <f>SUM(N2:N66)</f>
        <v>24920000</v>
      </c>
    </row>
  </sheetData>
  <autoFilter ref="A1:N67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6월 인건비(송찬호)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 찬호</cp:lastModifiedBy>
  <dcterms:created xsi:type="dcterms:W3CDTF">2026-07-01T05:37:19Z</dcterms:created>
  <dcterms:modified xsi:type="dcterms:W3CDTF">2026-07-01T07:26:15Z</dcterms:modified>
</cp:coreProperties>
</file>